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rafael_cruz_germinare_org_br/Documents/Área de Trabalho/2 ANO/Estatística/"/>
    </mc:Choice>
  </mc:AlternateContent>
  <xr:revisionPtr revIDLastSave="0" documentId="8_{01EF8219-669A-41A9-ADB3-2EC20E97BA65}" xr6:coauthVersionLast="47" xr6:coauthVersionMax="47" xr10:uidLastSave="{00000000-0000-0000-0000-000000000000}"/>
  <bookViews>
    <workbookView xWindow="-108" yWindow="-108" windowWidth="23256" windowHeight="12456" xr2:uid="{00112EB4-E880-41E1-AE91-2A11DE38C6BA}"/>
  </bookViews>
  <sheets>
    <sheet name="Teste A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4" i="1" l="1"/>
  <c r="P14" i="1"/>
  <c r="H14" i="1"/>
  <c r="Q33" i="1"/>
  <c r="X8" i="1"/>
  <c r="W8" i="1"/>
  <c r="X6" i="1"/>
  <c r="W6" i="1"/>
  <c r="W4" i="1"/>
  <c r="X4" i="1"/>
  <c r="X11" i="1"/>
  <c r="W11" i="1"/>
  <c r="H8" i="1"/>
  <c r="P8" i="1"/>
  <c r="O8" i="1"/>
  <c r="O11" i="1"/>
  <c r="O6" i="1"/>
  <c r="P6" i="1"/>
  <c r="P4" i="1"/>
  <c r="O4" i="1"/>
  <c r="P11" i="1"/>
  <c r="B15" i="1"/>
  <c r="H11" i="1"/>
  <c r="G8" i="1"/>
  <c r="G11" i="1" s="1"/>
  <c r="G6" i="1"/>
  <c r="O17" i="1" l="1"/>
  <c r="W17" i="1"/>
  <c r="W21" i="1" s="1"/>
  <c r="W14" i="1"/>
  <c r="O21" i="1"/>
  <c r="O14" i="1"/>
  <c r="H6" i="1"/>
  <c r="H4" i="1"/>
  <c r="G4" i="1"/>
  <c r="G14" i="1" s="1"/>
  <c r="G17" i="1" l="1"/>
  <c r="G21" i="1"/>
</calcChain>
</file>

<file path=xl/sharedStrings.xml><?xml version="1.0" encoding="utf-8"?>
<sst xmlns="http://schemas.openxmlformats.org/spreadsheetml/2006/main" count="72" uniqueCount="37">
  <si>
    <t>CORES - Projeto</t>
  </si>
  <si>
    <t>Tela de Adição de Contagens</t>
  </si>
  <si>
    <t>Tela de Foto de Perfil</t>
  </si>
  <si>
    <t>Tela de Exportação dos Dados</t>
  </si>
  <si>
    <t>2F3034</t>
  </si>
  <si>
    <t>Duração da tela A</t>
  </si>
  <si>
    <t>Duração da tela B</t>
  </si>
  <si>
    <t>N - a</t>
  </si>
  <si>
    <t>N - b</t>
  </si>
  <si>
    <t>1A7B66</t>
  </si>
  <si>
    <t>A1E1D3</t>
  </si>
  <si>
    <t>μ amostral - a</t>
  </si>
  <si>
    <t>μ amostral - b</t>
  </si>
  <si>
    <t>FCFCFC</t>
  </si>
  <si>
    <t>σ amostral - a</t>
  </si>
  <si>
    <t>σ amostral - b</t>
  </si>
  <si>
    <t>xxx</t>
  </si>
  <si>
    <t>Tela ATUAL</t>
  </si>
  <si>
    <t>Tela ALTERNATIVA</t>
  </si>
  <si>
    <t>s²a</t>
  </si>
  <si>
    <t>s²b</t>
  </si>
  <si>
    <t>μ</t>
  </si>
  <si>
    <t>Média</t>
  </si>
  <si>
    <t>σ</t>
  </si>
  <si>
    <t>Desvio padrão</t>
  </si>
  <si>
    <t>df</t>
  </si>
  <si>
    <t>t crítico</t>
  </si>
  <si>
    <t>Confiança</t>
  </si>
  <si>
    <t>Significância α</t>
  </si>
  <si>
    <t>t</t>
  </si>
  <si>
    <t>T foi maior que T crítico?</t>
  </si>
  <si>
    <t>VERDADEIRO -&gt;</t>
  </si>
  <si>
    <t>H0: μ a &gt;= μ b</t>
  </si>
  <si>
    <t>H0: μ b &gt;= μ a</t>
  </si>
  <si>
    <t>FALSO -&gt;</t>
  </si>
  <si>
    <t>H1: μ a &lt; μ b</t>
  </si>
  <si>
    <t>H1: μ b &lt; μ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</si>
</sst>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7" formatCode="#,##0.0000"/>
  </numFmts>
  <fonts count="7">
    <font>
      <sz val="11"/>
      <color theme="1"/>
      <name val="Aptos Narrow"/>
      <family val="2"/>
      <scheme val="minor"/>
    </font>
    <font>
      <sz val="11"/>
      <color rgb="FFFCFCFC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i/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3034"/>
        <bgColor indexed="64"/>
      </patternFill>
    </fill>
    <fill>
      <patternFill patternType="solid">
        <fgColor rgb="FF1A7B66"/>
        <bgColor indexed="64"/>
      </patternFill>
    </fill>
    <fill>
      <patternFill patternType="solid">
        <fgColor rgb="FFA1E1D3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0" borderId="5" xfId="0" applyBorder="1"/>
    <xf numFmtId="0" fontId="1" fillId="2" borderId="4" xfId="0" applyFont="1" applyFill="1" applyBorder="1"/>
    <xf numFmtId="0" fontId="1" fillId="2" borderId="0" xfId="0" applyFont="1" applyFill="1" applyBorder="1"/>
    <xf numFmtId="0" fontId="0" fillId="0" borderId="0" xfId="0" applyBorder="1"/>
    <xf numFmtId="0" fontId="0" fillId="0" borderId="4" xfId="0" applyBorder="1"/>
    <xf numFmtId="164" fontId="0" fillId="0" borderId="0" xfId="0" applyNumberFormat="1" applyBorder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0" fontId="0" fillId="0" borderId="8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/>
    <xf numFmtId="0" fontId="0" fillId="4" borderId="5" xfId="0" applyFill="1" applyBorder="1"/>
    <xf numFmtId="0" fontId="5" fillId="0" borderId="4" xfId="0" applyFont="1" applyBorder="1"/>
    <xf numFmtId="0" fontId="0" fillId="0" borderId="11" xfId="0" applyBorder="1"/>
    <xf numFmtId="0" fontId="0" fillId="0" borderId="13" xfId="0" applyBorder="1"/>
    <xf numFmtId="0" fontId="4" fillId="6" borderId="9" xfId="0" applyFont="1" applyFill="1" applyBorder="1" applyAlignment="1">
      <alignment horizontal="center"/>
    </xf>
    <xf numFmtId="0" fontId="0" fillId="0" borderId="15" xfId="0" applyBorder="1"/>
    <xf numFmtId="0" fontId="0" fillId="2" borderId="16" xfId="0" applyFill="1" applyBorder="1"/>
    <xf numFmtId="0" fontId="0" fillId="0" borderId="17" xfId="0" applyBorder="1"/>
    <xf numFmtId="0" fontId="0" fillId="5" borderId="18" xfId="0" applyFill="1" applyBorder="1"/>
    <xf numFmtId="0" fontId="4" fillId="6" borderId="15" xfId="0" applyFont="1" applyFill="1" applyBorder="1" applyAlignment="1">
      <alignment horizontal="center"/>
    </xf>
    <xf numFmtId="0" fontId="0" fillId="0" borderId="16" xfId="0" applyBorder="1"/>
    <xf numFmtId="0" fontId="0" fillId="7" borderId="17" xfId="0" applyFill="1" applyBorder="1" applyAlignment="1">
      <alignment horizontal="center"/>
    </xf>
    <xf numFmtId="0" fontId="0" fillId="0" borderId="18" xfId="0" applyBorder="1"/>
    <xf numFmtId="0" fontId="4" fillId="8" borderId="15" xfId="0" applyFont="1" applyFill="1" applyBorder="1"/>
    <xf numFmtId="9" fontId="0" fillId="0" borderId="16" xfId="1" applyFont="1" applyBorder="1"/>
    <xf numFmtId="0" fontId="4" fillId="8" borderId="17" xfId="0" applyFont="1" applyFill="1" applyBorder="1"/>
    <xf numFmtId="9" fontId="0" fillId="0" borderId="18" xfId="0" applyNumberFormat="1" applyBorder="1"/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7" borderId="9" xfId="0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0" fillId="0" borderId="12" xfId="0" applyBorder="1"/>
    <xf numFmtId="0" fontId="0" fillId="7" borderId="11" xfId="0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164" fontId="0" fillId="0" borderId="11" xfId="0" applyNumberFormat="1" applyBorder="1"/>
    <xf numFmtId="164" fontId="0" fillId="0" borderId="12" xfId="0" applyNumberFormat="1" applyBorder="1"/>
    <xf numFmtId="0" fontId="4" fillId="2" borderId="1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7" borderId="20" xfId="0" applyFill="1" applyBorder="1"/>
    <xf numFmtId="0" fontId="0" fillId="9" borderId="21" xfId="0" applyFill="1" applyBorder="1"/>
    <xf numFmtId="0" fontId="0" fillId="10" borderId="11" xfId="0" applyFill="1" applyBorder="1"/>
    <xf numFmtId="0" fontId="0" fillId="10" borderId="12" xfId="0" applyFill="1" applyBorder="1"/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6" xfId="0" applyFill="1" applyBorder="1"/>
    <xf numFmtId="0" fontId="0" fillId="9" borderId="18" xfId="0" applyFill="1" applyBorder="1"/>
    <xf numFmtId="0" fontId="0" fillId="7" borderId="10" xfId="0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167" fontId="4" fillId="8" borderId="12" xfId="0" applyNumberFormat="1" applyFont="1" applyFill="1" applyBorder="1"/>
    <xf numFmtId="0" fontId="0" fillId="0" borderId="2" xfId="0" applyBorder="1"/>
    <xf numFmtId="0" fontId="2" fillId="0" borderId="0" xfId="0" applyFont="1" applyBorder="1"/>
  </cellXfs>
  <cellStyles count="2">
    <cellStyle name="Normal" xfId="0" builtinId="0"/>
    <cellStyle name="Porcentagem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CFCFC"/>
        <name val="Aptos Narrow"/>
        <family val="2"/>
        <scheme val="minor"/>
      </font>
      <fill>
        <patternFill patternType="solid">
          <fgColor indexed="64"/>
          <bgColor rgb="FF2F3034"/>
        </patternFill>
      </fill>
    </dxf>
    <dxf>
      <border outline="0">
        <left style="medium">
          <color rgb="FF000000"/>
        </lef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CFCFC"/>
        <name val="Aptos Narrow"/>
        <family val="2"/>
        <scheme val="minor"/>
      </font>
      <fill>
        <patternFill patternType="solid">
          <fgColor indexed="64"/>
          <bgColor rgb="FF2F3034"/>
        </patternFill>
      </fill>
    </dxf>
    <dxf>
      <border outline="0">
        <left style="medium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CFCFC"/>
        <name val="Aptos Narrow"/>
        <family val="2"/>
        <scheme val="minor"/>
      </font>
      <fill>
        <patternFill patternType="solid">
          <fgColor indexed="64"/>
          <bgColor rgb="FF2F3034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CC9900"/>
      <color rgb="FFFCFCFC"/>
      <color rgb="FF2F3034"/>
      <color rgb="FFA1E1D3"/>
      <color rgb="FF1A7B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25</xdr:row>
      <xdr:rowOff>161925</xdr:rowOff>
    </xdr:from>
    <xdr:to>
      <xdr:col>8</xdr:col>
      <xdr:colOff>438150</xdr:colOff>
      <xdr:row>35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B2773E7-C2BD-A87D-BB98-C90C4DBA6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905375"/>
          <a:ext cx="9363075" cy="1895475"/>
        </a:xfrm>
        <a:prstGeom prst="rect">
          <a:avLst/>
        </a:prstGeom>
      </xdr:spPr>
    </xdr:pic>
    <xdr:clientData/>
  </xdr:twoCellAnchor>
  <xdr:twoCellAnchor editAs="oneCell">
    <xdr:from>
      <xdr:col>0</xdr:col>
      <xdr:colOff>-57150</xdr:colOff>
      <xdr:row>0</xdr:row>
      <xdr:rowOff>-914400</xdr:rowOff>
    </xdr:from>
    <xdr:to>
      <xdr:col>0</xdr:col>
      <xdr:colOff>-57150</xdr:colOff>
      <xdr:row>0</xdr:row>
      <xdr:rowOff>-914400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B2011A9-190E-B4EB-BC35-2204606E624D}"/>
            </a:ext>
            <a:ext uri="{147F2762-F138-4A5C-976F-8EAC2B608ADB}">
              <a16:predDERef xmlns:a16="http://schemas.microsoft.com/office/drawing/2014/main" pred="{FB2773E7-C2BD-A87D-BB98-C90C4DBA6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57150" y="-91440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6CAFC5-6870-40CF-A5A1-E6A71C46159A}" name="Tabela1" displayName="Tabela1" ref="D3:E22" totalsRowShown="0" headerRowDxfId="4" tableBorderDxfId="3">
  <autoFilter ref="D3:E22" xr:uid="{5C6CAFC5-6870-40CF-A5A1-E6A71C46159A}"/>
  <tableColumns count="2">
    <tableColumn id="1" xr3:uid="{3950803B-46EE-42D8-AB29-A5BFDD4B0DB7}" name="Duração da tela A"/>
    <tableColumn id="2" xr3:uid="{5795DDF6-5536-45F4-B4FB-0CFFCBE12BCF}" name="Duração da tela B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8E8641-2600-4B74-8B23-1FAF09B0FD17}" name="Tabela2" displayName="Tabela2" ref="L3:M23" totalsRowShown="0" headerRowDxfId="2" tableBorderDxfId="1">
  <autoFilter ref="L3:M23" xr:uid="{BB8E8641-2600-4B74-8B23-1FAF09B0FD17}"/>
  <tableColumns count="2">
    <tableColumn id="1" xr3:uid="{D5FFC1E8-4FDA-400F-B736-A0D9E78B650A}" name="Duração da tela A"/>
    <tableColumn id="2" xr3:uid="{50B94B3C-67C6-46CA-AA08-505081866FEC}" name="Duração da tela B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ABB890-24F9-4A5F-8DBF-DEF5ED9DAC9E}" name="Tabela3" displayName="Tabela3" ref="T3:U23" totalsRowShown="0" headerRowDxfId="0">
  <autoFilter ref="T3:U23" xr:uid="{16ABB890-24F9-4A5F-8DBF-DEF5ED9DAC9E}"/>
  <tableColumns count="2">
    <tableColumn id="1" xr3:uid="{0BBBE30C-AE4C-45DB-977A-EE4929C2F4A7}" name="Duração da tela A"/>
    <tableColumn id="2" xr3:uid="{4CCEB83F-ED39-4E91-A4E4-4D8A6BD4303C}" name="Duração da tela B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8EC5-20C5-4B45-9043-CC6F970C2CA9}">
  <dimension ref="A1:AA36"/>
  <sheetViews>
    <sheetView tabSelected="1" zoomScale="82" workbookViewId="0">
      <selection activeCell="A16" sqref="A16"/>
    </sheetView>
  </sheetViews>
  <sheetFormatPr defaultRowHeight="15" customHeight="1"/>
  <cols>
    <col min="1" max="1" width="21.7109375" bestFit="1" customWidth="1"/>
    <col min="2" max="2" width="16.42578125" bestFit="1" customWidth="1"/>
    <col min="3" max="3" width="10.28515625" bestFit="1" customWidth="1"/>
    <col min="4" max="5" width="19" bestFit="1" customWidth="1"/>
    <col min="7" max="7" width="21.7109375" bestFit="1" customWidth="1"/>
    <col min="8" max="8" width="16.85546875" bestFit="1" customWidth="1"/>
    <col min="9" max="9" width="25.7109375" bestFit="1" customWidth="1"/>
    <col min="10" max="10" width="7.7109375" customWidth="1"/>
    <col min="12" max="13" width="19" bestFit="1" customWidth="1"/>
    <col min="14" max="14" width="15.140625" bestFit="1" customWidth="1"/>
    <col min="15" max="15" width="22" bestFit="1" customWidth="1"/>
    <col min="16" max="16" width="14.85546875" bestFit="1" customWidth="1"/>
    <col min="17" max="17" width="26" bestFit="1" customWidth="1"/>
    <col min="20" max="21" width="19" bestFit="1" customWidth="1"/>
    <col min="23" max="23" width="22" bestFit="1" customWidth="1"/>
    <col min="24" max="24" width="14.85546875" bestFit="1" customWidth="1"/>
    <col min="25" max="25" width="26" bestFit="1" customWidth="1"/>
  </cols>
  <sheetData>
    <row r="1" spans="1:27" ht="14.45" customHeight="1">
      <c r="A1" s="16" t="s">
        <v>0</v>
      </c>
      <c r="B1" s="17"/>
      <c r="C1" s="66"/>
      <c r="D1" s="2" t="s">
        <v>1</v>
      </c>
      <c r="E1" s="3"/>
      <c r="F1" s="3"/>
      <c r="G1" s="3"/>
      <c r="H1" s="3"/>
      <c r="I1" s="38"/>
      <c r="J1" s="66"/>
      <c r="K1" s="66"/>
      <c r="L1" s="2" t="s">
        <v>2</v>
      </c>
      <c r="M1" s="3"/>
      <c r="N1" s="3"/>
      <c r="O1" s="3"/>
      <c r="P1" s="3"/>
      <c r="Q1" s="38"/>
      <c r="R1" s="66"/>
      <c r="S1" s="66"/>
      <c r="T1" s="2" t="s">
        <v>3</v>
      </c>
      <c r="U1" s="3"/>
      <c r="V1" s="3"/>
      <c r="W1" s="3"/>
      <c r="X1" s="3"/>
      <c r="Y1" s="38"/>
      <c r="AA1" s="1"/>
    </row>
    <row r="2" spans="1:27" ht="14.45" customHeight="1">
      <c r="A2" s="18"/>
      <c r="B2" s="19"/>
      <c r="C2" s="9"/>
      <c r="D2" s="4"/>
      <c r="E2" s="5"/>
      <c r="F2" s="5"/>
      <c r="G2" s="5"/>
      <c r="H2" s="5"/>
      <c r="I2" s="39"/>
      <c r="J2" s="9"/>
      <c r="K2" s="9"/>
      <c r="L2" s="4"/>
      <c r="M2" s="5"/>
      <c r="N2" s="5"/>
      <c r="O2" s="5"/>
      <c r="P2" s="5"/>
      <c r="Q2" s="39"/>
      <c r="R2" s="9"/>
      <c r="S2" s="9"/>
      <c r="T2" s="4"/>
      <c r="U2" s="5"/>
      <c r="V2" s="5"/>
      <c r="W2" s="5"/>
      <c r="X2" s="5"/>
      <c r="Y2" s="39"/>
      <c r="AA2" s="1"/>
    </row>
    <row r="3" spans="1:27">
      <c r="A3" s="26" t="s">
        <v>4</v>
      </c>
      <c r="B3" s="27"/>
      <c r="C3" s="9"/>
      <c r="D3" s="8" t="s">
        <v>5</v>
      </c>
      <c r="E3" s="8" t="s">
        <v>6</v>
      </c>
      <c r="F3" s="9"/>
      <c r="G3" s="40" t="s">
        <v>7</v>
      </c>
      <c r="H3" s="41" t="s">
        <v>8</v>
      </c>
      <c r="I3" s="6"/>
      <c r="J3" s="9"/>
      <c r="K3" s="9"/>
      <c r="L3" s="8" t="s">
        <v>5</v>
      </c>
      <c r="M3" s="8" t="s">
        <v>6</v>
      </c>
      <c r="N3" s="9"/>
      <c r="O3" s="25" t="s">
        <v>7</v>
      </c>
      <c r="P3" s="62" t="s">
        <v>8</v>
      </c>
      <c r="Q3" s="6"/>
      <c r="R3" s="9"/>
      <c r="S3" s="9"/>
      <c r="T3" s="7" t="s">
        <v>5</v>
      </c>
      <c r="U3" s="8" t="s">
        <v>6</v>
      </c>
      <c r="V3" s="9"/>
      <c r="W3" s="25" t="s">
        <v>7</v>
      </c>
      <c r="X3" s="62" t="s">
        <v>8</v>
      </c>
      <c r="Y3" s="6"/>
    </row>
    <row r="4" spans="1:27">
      <c r="A4" s="10" t="s">
        <v>9</v>
      </c>
      <c r="B4" s="20"/>
      <c r="C4" s="9"/>
      <c r="D4" s="9">
        <v>5.79</v>
      </c>
      <c r="E4" s="9">
        <v>50.72</v>
      </c>
      <c r="F4" s="11"/>
      <c r="G4" s="23">
        <f>COUNT(D4:D22)</f>
        <v>19</v>
      </c>
      <c r="H4" s="42">
        <f>COUNT(E4:E19)</f>
        <v>16</v>
      </c>
      <c r="I4" s="6"/>
      <c r="J4" s="9"/>
      <c r="K4" s="9"/>
      <c r="L4" s="9">
        <v>4.9000000000000004</v>
      </c>
      <c r="M4" s="9">
        <v>15.8</v>
      </c>
      <c r="N4" s="9"/>
      <c r="O4" s="23">
        <f>COUNT(L4:L23)</f>
        <v>20</v>
      </c>
      <c r="P4" s="42">
        <f>COUNT(M4:M18)</f>
        <v>15</v>
      </c>
      <c r="Q4" s="6"/>
      <c r="R4" s="9"/>
      <c r="S4" s="9"/>
      <c r="T4" s="10">
        <v>6.25</v>
      </c>
      <c r="U4" s="9">
        <v>67.28</v>
      </c>
      <c r="V4" s="9"/>
      <c r="W4" s="23">
        <f>COUNT(T4:T23)</f>
        <v>20</v>
      </c>
      <c r="X4" s="42">
        <f>COUNT(U4:U17)</f>
        <v>14</v>
      </c>
      <c r="Y4" s="6"/>
    </row>
    <row r="5" spans="1:27">
      <c r="A5" s="10" t="s">
        <v>10</v>
      </c>
      <c r="B5" s="21"/>
      <c r="C5" s="9"/>
      <c r="D5" s="9">
        <v>18.63</v>
      </c>
      <c r="E5" s="9">
        <v>18.43</v>
      </c>
      <c r="F5" s="11"/>
      <c r="G5" s="43" t="s">
        <v>11</v>
      </c>
      <c r="H5" s="44" t="s">
        <v>12</v>
      </c>
      <c r="I5" s="6"/>
      <c r="J5" s="9"/>
      <c r="K5" s="9"/>
      <c r="L5" s="9">
        <v>3.56</v>
      </c>
      <c r="M5" s="9">
        <v>8.27</v>
      </c>
      <c r="N5" s="9"/>
      <c r="O5" s="63" t="s">
        <v>11</v>
      </c>
      <c r="P5" s="64" t="s">
        <v>12</v>
      </c>
      <c r="Q5" s="6"/>
      <c r="R5" s="9"/>
      <c r="S5" s="9"/>
      <c r="T5" s="10">
        <v>22.64</v>
      </c>
      <c r="U5" s="9">
        <v>26.87</v>
      </c>
      <c r="V5" s="9"/>
      <c r="W5" s="63" t="s">
        <v>11</v>
      </c>
      <c r="X5" s="64" t="s">
        <v>12</v>
      </c>
      <c r="Y5" s="6"/>
    </row>
    <row r="6" spans="1:27">
      <c r="A6" s="28" t="s">
        <v>13</v>
      </c>
      <c r="B6" s="29"/>
      <c r="C6" s="9"/>
      <c r="D6" s="9">
        <v>37.909999999999997</v>
      </c>
      <c r="E6" s="9">
        <v>22.09</v>
      </c>
      <c r="F6" s="11"/>
      <c r="G6" s="45">
        <f>AVERAGE(D4:D22)</f>
        <v>21.983157894736838</v>
      </c>
      <c r="H6" s="46">
        <f>AVERAGE(E4:E19)</f>
        <v>21.78</v>
      </c>
      <c r="I6" s="6"/>
      <c r="J6" s="9"/>
      <c r="K6" s="9"/>
      <c r="L6" s="9">
        <v>6.94</v>
      </c>
      <c r="M6" s="9">
        <v>7.44</v>
      </c>
      <c r="N6" s="9"/>
      <c r="O6" s="45">
        <f>AVERAGE(L4:L23)</f>
        <v>8.9660000000000011</v>
      </c>
      <c r="P6" s="46">
        <f>AVERAGE(M4:M18)</f>
        <v>10.636666666666665</v>
      </c>
      <c r="Q6" s="6"/>
      <c r="R6" s="9"/>
      <c r="S6" s="9"/>
      <c r="T6" s="10">
        <v>29.62</v>
      </c>
      <c r="U6" s="9">
        <v>24.11</v>
      </c>
      <c r="V6" s="9"/>
      <c r="W6" s="45">
        <f>AVERAGE(T4:T23)</f>
        <v>20.795999999999999</v>
      </c>
      <c r="X6" s="46">
        <f>AVERAGE(U4:U17)</f>
        <v>28.039999999999996</v>
      </c>
      <c r="Y6" s="6"/>
    </row>
    <row r="7" spans="1:27">
      <c r="A7" s="22"/>
      <c r="B7" s="6"/>
      <c r="C7" s="9"/>
      <c r="D7" s="9">
        <v>37.08</v>
      </c>
      <c r="E7" s="9">
        <v>59.01</v>
      </c>
      <c r="F7" s="11"/>
      <c r="G7" s="43" t="s">
        <v>14</v>
      </c>
      <c r="H7" s="44" t="s">
        <v>15</v>
      </c>
      <c r="I7" s="6"/>
      <c r="J7" s="9"/>
      <c r="K7" s="9"/>
      <c r="L7" s="9">
        <v>22.64</v>
      </c>
      <c r="M7" s="9">
        <v>3.44</v>
      </c>
      <c r="N7" s="9"/>
      <c r="O7" s="63" t="s">
        <v>14</v>
      </c>
      <c r="P7" s="64" t="s">
        <v>15</v>
      </c>
      <c r="Q7" s="6"/>
      <c r="R7" s="9"/>
      <c r="S7" s="9"/>
      <c r="T7" s="10">
        <v>19.11</v>
      </c>
      <c r="U7" s="9">
        <v>28.35</v>
      </c>
      <c r="V7" s="9"/>
      <c r="W7" s="63" t="s">
        <v>14</v>
      </c>
      <c r="X7" s="64" t="s">
        <v>15</v>
      </c>
      <c r="Y7" s="6"/>
    </row>
    <row r="8" spans="1:27">
      <c r="A8" s="30" t="s">
        <v>16</v>
      </c>
      <c r="B8" s="31" t="s">
        <v>17</v>
      </c>
      <c r="C8" s="9"/>
      <c r="D8" s="9">
        <v>78.540000000000006</v>
      </c>
      <c r="E8" s="9">
        <v>8.6300000000000008</v>
      </c>
      <c r="F8" s="11"/>
      <c r="G8" s="45">
        <f>_xlfn.STDEV.S(D4:D22)</f>
        <v>16.727037345644124</v>
      </c>
      <c r="H8" s="46">
        <f>_xlfn.STDEV.S(E4:E19)</f>
        <v>13.893927210595756</v>
      </c>
      <c r="I8" s="6"/>
      <c r="J8" s="9"/>
      <c r="K8" s="9"/>
      <c r="L8" s="9">
        <v>19.71</v>
      </c>
      <c r="M8" s="9">
        <v>2.82</v>
      </c>
      <c r="N8" s="9"/>
      <c r="O8" s="45">
        <f>_xlfn.STDEV.S(L4:L23)</f>
        <v>5.2024674307890697</v>
      </c>
      <c r="P8" s="46">
        <f>_xlfn.STDEV.S(M4:M18)</f>
        <v>6.1161538645817375</v>
      </c>
      <c r="Q8" s="6"/>
      <c r="R8" s="9"/>
      <c r="S8" s="9"/>
      <c r="T8" s="10">
        <v>34.840000000000003</v>
      </c>
      <c r="U8" s="9">
        <v>8.3699999999999992</v>
      </c>
      <c r="V8" s="9"/>
      <c r="W8" s="45">
        <f>_xlfn.STDEV.S(T4:T23)</f>
        <v>9.4629384553914448</v>
      </c>
      <c r="X8" s="46">
        <f>_xlfn.STDEV.S(U4:U17)</f>
        <v>20.388113429907374</v>
      </c>
      <c r="Y8" s="6"/>
    </row>
    <row r="9" spans="1:27">
      <c r="A9" s="32" t="s">
        <v>16</v>
      </c>
      <c r="B9" s="33" t="s">
        <v>18</v>
      </c>
      <c r="C9" s="9"/>
      <c r="D9" s="9">
        <v>35.07</v>
      </c>
      <c r="E9" s="9">
        <v>13.49</v>
      </c>
      <c r="F9" s="11"/>
      <c r="G9" s="54"/>
      <c r="H9" s="55"/>
      <c r="I9" s="6"/>
      <c r="J9" s="9"/>
      <c r="K9" s="9"/>
      <c r="L9" s="9">
        <v>6.27</v>
      </c>
      <c r="M9" s="9">
        <v>8.73</v>
      </c>
      <c r="N9" s="9"/>
      <c r="O9" s="54"/>
      <c r="P9" s="55"/>
      <c r="Q9" s="6"/>
      <c r="R9" s="9"/>
      <c r="S9" s="9"/>
      <c r="T9" s="10">
        <v>28.52</v>
      </c>
      <c r="U9" s="9">
        <v>10.38</v>
      </c>
      <c r="V9" s="9"/>
      <c r="W9" s="54"/>
      <c r="X9" s="55"/>
      <c r="Y9" s="6"/>
    </row>
    <row r="10" spans="1:27">
      <c r="A10" s="10"/>
      <c r="B10" s="6"/>
      <c r="C10" s="9"/>
      <c r="D10" s="9">
        <v>16.600000000000001</v>
      </c>
      <c r="E10" s="9">
        <v>19.02</v>
      </c>
      <c r="F10" s="11"/>
      <c r="G10" s="47" t="s">
        <v>19</v>
      </c>
      <c r="H10" s="48" t="s">
        <v>20</v>
      </c>
      <c r="I10" s="6"/>
      <c r="J10" s="9"/>
      <c r="K10" s="9"/>
      <c r="L10" s="9">
        <v>1.73</v>
      </c>
      <c r="M10" s="9">
        <v>3.18</v>
      </c>
      <c r="N10" s="9"/>
      <c r="O10" s="47" t="s">
        <v>19</v>
      </c>
      <c r="P10" s="48" t="s">
        <v>20</v>
      </c>
      <c r="Q10" s="6"/>
      <c r="R10" s="9"/>
      <c r="S10" s="9"/>
      <c r="T10" s="10">
        <v>32.729999999999997</v>
      </c>
      <c r="U10" s="9">
        <v>15.48</v>
      </c>
      <c r="V10" s="9"/>
      <c r="W10" s="47" t="s">
        <v>19</v>
      </c>
      <c r="X10" s="48" t="s">
        <v>20</v>
      </c>
      <c r="Y10" s="6"/>
    </row>
    <row r="11" spans="1:27">
      <c r="A11" s="26" t="s">
        <v>21</v>
      </c>
      <c r="B11" s="31" t="s">
        <v>22</v>
      </c>
      <c r="C11" s="9"/>
      <c r="D11" s="9">
        <v>16.690000000000001</v>
      </c>
      <c r="E11" s="9">
        <v>10.7</v>
      </c>
      <c r="F11" s="11"/>
      <c r="G11" s="45">
        <f>G8^2</f>
        <v>279.79377836257322</v>
      </c>
      <c r="H11" s="46">
        <f>H8^2</f>
        <v>193.04121333333316</v>
      </c>
      <c r="I11" s="6"/>
      <c r="J11" s="9"/>
      <c r="K11" s="9"/>
      <c r="L11" s="9">
        <v>10.16</v>
      </c>
      <c r="M11" s="9">
        <v>9.7899999999999991</v>
      </c>
      <c r="N11" s="9"/>
      <c r="O11" s="45">
        <f>O8^2</f>
        <v>27.065667368421025</v>
      </c>
      <c r="P11" s="46">
        <f>P8^2</f>
        <v>37.407338095238124</v>
      </c>
      <c r="Q11" s="6"/>
      <c r="R11" s="9"/>
      <c r="S11" s="9"/>
      <c r="T11" s="10">
        <v>6.21</v>
      </c>
      <c r="U11" s="9">
        <v>21.57</v>
      </c>
      <c r="V11" s="9"/>
      <c r="W11" s="45">
        <f>W8^2</f>
        <v>89.547204210526218</v>
      </c>
      <c r="X11" s="46">
        <f>X8^2</f>
        <v>415.67516923076943</v>
      </c>
      <c r="Y11" s="6"/>
    </row>
    <row r="12" spans="1:27">
      <c r="A12" s="28" t="s">
        <v>23</v>
      </c>
      <c r="B12" s="33" t="s">
        <v>24</v>
      </c>
      <c r="C12" s="9"/>
      <c r="D12" s="9">
        <v>21.16</v>
      </c>
      <c r="E12" s="9">
        <v>11.27</v>
      </c>
      <c r="F12" s="11"/>
      <c r="G12" s="54"/>
      <c r="H12" s="55"/>
      <c r="I12" s="6"/>
      <c r="J12" s="9"/>
      <c r="K12" s="9"/>
      <c r="L12" s="9">
        <v>4.88</v>
      </c>
      <c r="M12" s="9">
        <v>20.350000000000001</v>
      </c>
      <c r="N12" s="9"/>
      <c r="O12" s="54"/>
      <c r="P12" s="55"/>
      <c r="Q12" s="6"/>
      <c r="R12" s="9"/>
      <c r="S12" s="9"/>
      <c r="T12" s="10">
        <v>13.28</v>
      </c>
      <c r="U12" s="9">
        <v>11.11</v>
      </c>
      <c r="V12" s="9"/>
      <c r="W12" s="54"/>
      <c r="X12" s="55"/>
      <c r="Y12" s="6"/>
    </row>
    <row r="13" spans="1:27">
      <c r="A13" s="10"/>
      <c r="B13" s="6"/>
      <c r="C13" s="9"/>
      <c r="D13" s="9">
        <v>8.35</v>
      </c>
      <c r="E13" s="9">
        <v>13.29</v>
      </c>
      <c r="F13" s="11"/>
      <c r="G13" s="49" t="s">
        <v>25</v>
      </c>
      <c r="H13" s="50" t="s">
        <v>26</v>
      </c>
      <c r="I13" s="6"/>
      <c r="J13" s="9"/>
      <c r="K13" s="9"/>
      <c r="L13" s="9">
        <v>10.3</v>
      </c>
      <c r="M13" s="9">
        <v>19.489999999999998</v>
      </c>
      <c r="N13" s="9"/>
      <c r="O13" s="49" t="s">
        <v>25</v>
      </c>
      <c r="P13" s="50" t="s">
        <v>26</v>
      </c>
      <c r="Q13" s="6"/>
      <c r="R13" s="9"/>
      <c r="S13" s="9"/>
      <c r="T13" s="10">
        <v>35.29</v>
      </c>
      <c r="U13" s="9">
        <v>73.14</v>
      </c>
      <c r="V13" s="9"/>
      <c r="W13" s="49" t="s">
        <v>25</v>
      </c>
      <c r="X13" s="50" t="s">
        <v>26</v>
      </c>
      <c r="Y13" s="6"/>
    </row>
    <row r="14" spans="1:27">
      <c r="A14" s="34" t="s">
        <v>27</v>
      </c>
      <c r="B14" s="35">
        <v>0.95</v>
      </c>
      <c r="C14" s="9"/>
      <c r="D14" s="9">
        <v>11.32</v>
      </c>
      <c r="E14" s="9">
        <v>13.79</v>
      </c>
      <c r="F14" s="11"/>
      <c r="G14" s="23">
        <f>(((G11/G4)+(H11/H4))^2) / ( ((G11/G4)^2/(G4-1)) + ((H11/H4)^2/(H4-1)) )</f>
        <v>32.997645679982803</v>
      </c>
      <c r="H14" s="65">
        <f>_xlfn.T.INV(B15,G14)</f>
        <v>-1.6938887483837093</v>
      </c>
      <c r="I14" s="6"/>
      <c r="J14" s="9"/>
      <c r="K14" s="9"/>
      <c r="L14" s="9">
        <v>11.66</v>
      </c>
      <c r="M14" s="9">
        <v>12.86</v>
      </c>
      <c r="N14" s="9"/>
      <c r="O14" s="23">
        <f>(((O11/O4)+(P11/P4))^2) / ( ((O11/O4)^2/(O4-1)) + ((P11/P4)^2/(P4-1)) )</f>
        <v>27.376730866264843</v>
      </c>
      <c r="P14" s="65">
        <f>_xlfn.T.INV(B15,O14)</f>
        <v>-1.7032884457221271</v>
      </c>
      <c r="Q14" s="6"/>
      <c r="R14" s="9"/>
      <c r="S14" s="9"/>
      <c r="T14" s="10">
        <v>16.04</v>
      </c>
      <c r="U14" s="9">
        <v>46.85</v>
      </c>
      <c r="V14" s="9"/>
      <c r="W14" s="23">
        <f>(((W11/W4)+(X11/X4))^2) / ( ((W11/W4)^2/(W4-1)) + ((X11/X4)^2/(X4-1)) )</f>
        <v>16.952607066667806</v>
      </c>
      <c r="X14" s="65">
        <f>_xlfn.T.INV(B15,W14)</f>
        <v>-1.7458836762762506</v>
      </c>
      <c r="Y14" s="6"/>
    </row>
    <row r="15" spans="1:27">
      <c r="A15" s="36" t="s">
        <v>28</v>
      </c>
      <c r="B15" s="37">
        <f>1-B14</f>
        <v>5.0000000000000044E-2</v>
      </c>
      <c r="C15" s="9"/>
      <c r="D15" s="9">
        <v>13.21</v>
      </c>
      <c r="E15" s="9">
        <v>19.36</v>
      </c>
      <c r="F15" s="11"/>
      <c r="G15" s="54"/>
      <c r="H15" s="55"/>
      <c r="I15" s="6"/>
      <c r="J15" s="9"/>
      <c r="K15" s="9"/>
      <c r="L15" s="9">
        <v>4.6500000000000004</v>
      </c>
      <c r="M15" s="9">
        <v>10.01</v>
      </c>
      <c r="N15" s="9"/>
      <c r="O15" s="54"/>
      <c r="P15" s="55"/>
      <c r="Q15" s="6"/>
      <c r="R15" s="9"/>
      <c r="S15" s="9"/>
      <c r="T15" s="10">
        <v>15.08</v>
      </c>
      <c r="U15" s="9">
        <v>17.28</v>
      </c>
      <c r="V15" s="9"/>
      <c r="W15" s="54"/>
      <c r="X15" s="55"/>
      <c r="Y15" s="6"/>
    </row>
    <row r="16" spans="1:27">
      <c r="A16" s="12"/>
      <c r="B16" s="15"/>
      <c r="C16" s="9"/>
      <c r="D16" s="9">
        <v>11.82</v>
      </c>
      <c r="E16" s="9">
        <v>22.17</v>
      </c>
      <c r="F16" s="11"/>
      <c r="G16" s="56" t="s">
        <v>29</v>
      </c>
      <c r="H16" s="57"/>
      <c r="I16" s="6"/>
      <c r="J16" s="9"/>
      <c r="K16" s="9"/>
      <c r="L16" s="9">
        <v>9.8699999999999992</v>
      </c>
      <c r="M16" s="9">
        <v>12.05</v>
      </c>
      <c r="N16" s="9"/>
      <c r="O16" s="56" t="s">
        <v>29</v>
      </c>
      <c r="P16" s="57"/>
      <c r="Q16" s="6"/>
      <c r="R16" s="9"/>
      <c r="S16" s="9"/>
      <c r="T16" s="10">
        <v>32.24</v>
      </c>
      <c r="U16" s="9">
        <v>15.59</v>
      </c>
      <c r="V16" s="9"/>
      <c r="W16" s="56" t="s">
        <v>29</v>
      </c>
      <c r="X16" s="57"/>
      <c r="Y16" s="6"/>
    </row>
    <row r="17" spans="1:25">
      <c r="A17" s="10"/>
      <c r="B17" s="9"/>
      <c r="C17" s="9"/>
      <c r="D17" s="9">
        <v>16.5</v>
      </c>
      <c r="E17" s="9">
        <v>27.05</v>
      </c>
      <c r="F17" s="11"/>
      <c r="G17" s="58">
        <f>(H6-G6)/SQRT(G11/G4 + H11/H4)</f>
        <v>-3.9249915078196439E-2</v>
      </c>
      <c r="H17" s="59"/>
      <c r="I17" s="6"/>
      <c r="J17" s="9"/>
      <c r="K17" s="9"/>
      <c r="L17" s="9">
        <v>7.55</v>
      </c>
      <c r="M17" s="9">
        <v>4.91</v>
      </c>
      <c r="N17" s="9"/>
      <c r="O17" s="58">
        <f>(O6-P6)/SQRT(O11/O4 + P11/P4)</f>
        <v>-0.8517707779161815</v>
      </c>
      <c r="P17" s="59"/>
      <c r="Q17" s="6"/>
      <c r="R17" s="9"/>
      <c r="S17" s="9"/>
      <c r="T17" s="10">
        <v>29.31</v>
      </c>
      <c r="U17" s="9">
        <v>26.18</v>
      </c>
      <c r="V17" s="9"/>
      <c r="W17" s="58">
        <f>-(X6-W6)/SQRT(W11/W4 + X11/X4)</f>
        <v>-1.2392697315731604</v>
      </c>
      <c r="X17" s="59"/>
      <c r="Y17" s="6"/>
    </row>
    <row r="18" spans="1:25">
      <c r="A18" s="10"/>
      <c r="B18" s="9"/>
      <c r="C18" s="9"/>
      <c r="D18" s="9">
        <v>17.510000000000002</v>
      </c>
      <c r="E18" s="9">
        <v>19.5</v>
      </c>
      <c r="F18" s="11"/>
      <c r="G18" s="9"/>
      <c r="H18" s="9"/>
      <c r="I18" s="6"/>
      <c r="J18" s="9"/>
      <c r="K18" s="9"/>
      <c r="L18" s="9">
        <v>8.1199999999999992</v>
      </c>
      <c r="M18" s="9">
        <v>20.41</v>
      </c>
      <c r="N18" s="9"/>
      <c r="O18" s="9"/>
      <c r="P18" s="9"/>
      <c r="Q18" s="6"/>
      <c r="R18" s="9"/>
      <c r="S18" s="9"/>
      <c r="T18" s="10">
        <v>14.08</v>
      </c>
      <c r="U18" s="9"/>
      <c r="V18" s="9"/>
      <c r="W18" s="9"/>
      <c r="X18" s="9"/>
      <c r="Y18" s="6"/>
    </row>
    <row r="19" spans="1:25">
      <c r="A19" s="10"/>
      <c r="B19" s="9"/>
      <c r="C19" s="9"/>
      <c r="D19" s="9">
        <v>11.29</v>
      </c>
      <c r="E19" s="9">
        <v>19.96</v>
      </c>
      <c r="F19" s="11"/>
      <c r="G19" s="9"/>
      <c r="H19" s="9"/>
      <c r="I19" s="6"/>
      <c r="J19" s="9"/>
      <c r="K19" s="9"/>
      <c r="L19" s="9">
        <v>8.3699999999999992</v>
      </c>
      <c r="M19" s="9"/>
      <c r="N19" s="9"/>
      <c r="O19" s="9"/>
      <c r="P19" s="9"/>
      <c r="Q19" s="6"/>
      <c r="R19" s="9"/>
      <c r="S19" s="9"/>
      <c r="T19" s="10">
        <v>11.99</v>
      </c>
      <c r="U19" s="9"/>
      <c r="V19" s="9"/>
      <c r="W19" s="9"/>
      <c r="X19" s="9"/>
      <c r="Y19" s="6"/>
    </row>
    <row r="20" spans="1:25">
      <c r="A20" s="10"/>
      <c r="B20" s="9"/>
      <c r="C20" s="9"/>
      <c r="D20" s="9">
        <v>13.25</v>
      </c>
      <c r="E20" s="9"/>
      <c r="F20" s="11"/>
      <c r="G20" s="51" t="s">
        <v>30</v>
      </c>
      <c r="H20" s="52" t="s">
        <v>31</v>
      </c>
      <c r="I20" s="60" t="s">
        <v>32</v>
      </c>
      <c r="J20" s="9"/>
      <c r="K20" s="9"/>
      <c r="L20" s="9">
        <v>13.16</v>
      </c>
      <c r="M20" s="9"/>
      <c r="N20" s="9"/>
      <c r="O20" s="51" t="s">
        <v>30</v>
      </c>
      <c r="P20" s="52" t="s">
        <v>31</v>
      </c>
      <c r="Q20" s="60" t="s">
        <v>33</v>
      </c>
      <c r="R20" s="9"/>
      <c r="S20" s="9"/>
      <c r="T20" s="10">
        <v>11.4</v>
      </c>
      <c r="U20" s="9"/>
      <c r="V20" s="9"/>
      <c r="W20" s="51" t="s">
        <v>30</v>
      </c>
      <c r="X20" s="52" t="s">
        <v>31</v>
      </c>
      <c r="Y20" s="60" t="s">
        <v>33</v>
      </c>
    </row>
    <row r="21" spans="1:25">
      <c r="A21" s="10"/>
      <c r="B21" s="9"/>
      <c r="C21" s="9"/>
      <c r="D21" s="9">
        <v>31.5</v>
      </c>
      <c r="E21" s="9"/>
      <c r="F21" s="11"/>
      <c r="G21" s="24" t="b">
        <f>G17 &gt; H14</f>
        <v>1</v>
      </c>
      <c r="H21" s="53" t="s">
        <v>34</v>
      </c>
      <c r="I21" s="61" t="s">
        <v>35</v>
      </c>
      <c r="J21" s="9"/>
      <c r="K21" s="9"/>
      <c r="L21" s="9">
        <v>10.84</v>
      </c>
      <c r="M21" s="9"/>
      <c r="N21" s="9"/>
      <c r="O21" s="24" t="b">
        <f>O17 &gt; P14</f>
        <v>1</v>
      </c>
      <c r="P21" s="53" t="s">
        <v>34</v>
      </c>
      <c r="Q21" s="61" t="s">
        <v>36</v>
      </c>
      <c r="R21" s="9"/>
      <c r="S21" s="9"/>
      <c r="T21" s="10">
        <v>24.09</v>
      </c>
      <c r="U21" s="9"/>
      <c r="V21" s="9"/>
      <c r="W21" s="24" t="b">
        <f>W17 &gt; X14</f>
        <v>1</v>
      </c>
      <c r="X21" s="53" t="s">
        <v>34</v>
      </c>
      <c r="Y21" s="61" t="s">
        <v>36</v>
      </c>
    </row>
    <row r="22" spans="1:25">
      <c r="A22" s="10"/>
      <c r="B22" s="9"/>
      <c r="C22" s="9"/>
      <c r="D22" s="9">
        <v>15.46</v>
      </c>
      <c r="E22" s="9"/>
      <c r="F22" s="11"/>
      <c r="G22" s="9"/>
      <c r="H22" s="9"/>
      <c r="I22" s="6"/>
      <c r="J22" s="9"/>
      <c r="K22" s="9"/>
      <c r="L22" s="9">
        <v>10.46</v>
      </c>
      <c r="M22" s="9"/>
      <c r="N22" s="9"/>
      <c r="O22" s="9"/>
      <c r="P22" s="9"/>
      <c r="Q22" s="6"/>
      <c r="R22" s="9"/>
      <c r="S22" s="9"/>
      <c r="T22" s="10">
        <v>18.98</v>
      </c>
      <c r="U22" s="9"/>
      <c r="V22" s="9"/>
      <c r="W22" s="9"/>
      <c r="X22" s="9"/>
      <c r="Y22" s="6"/>
    </row>
    <row r="23" spans="1:25">
      <c r="A23" s="10"/>
      <c r="B23" s="9"/>
      <c r="C23" s="9"/>
      <c r="D23" s="12"/>
      <c r="E23" s="13"/>
      <c r="F23" s="14"/>
      <c r="G23" s="13"/>
      <c r="H23" s="13"/>
      <c r="I23" s="15"/>
      <c r="J23" s="9"/>
      <c r="K23" s="9"/>
      <c r="L23" s="9">
        <v>3.55</v>
      </c>
      <c r="M23" s="9"/>
      <c r="N23" s="13"/>
      <c r="O23" s="13"/>
      <c r="P23" s="13"/>
      <c r="Q23" s="15"/>
      <c r="R23" s="9"/>
      <c r="S23" s="9"/>
      <c r="T23" s="12">
        <v>14.22</v>
      </c>
      <c r="U23" s="13"/>
      <c r="V23" s="13"/>
      <c r="W23" s="13"/>
      <c r="X23" s="13"/>
      <c r="Y23" s="15"/>
    </row>
    <row r="24" spans="1:25">
      <c r="A24" s="10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6"/>
    </row>
    <row r="25" spans="1:25">
      <c r="A25" s="10"/>
      <c r="B25" s="9"/>
      <c r="C25" s="9"/>
      <c r="D25" s="9"/>
      <c r="E25" s="9"/>
      <c r="F25" s="9"/>
      <c r="G25" s="67"/>
      <c r="H25" s="9"/>
      <c r="I25" s="9"/>
      <c r="J25" s="67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6"/>
    </row>
    <row r="26" spans="1:25" ht="15" customHeight="1">
      <c r="A26" s="10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6"/>
    </row>
    <row r="27" spans="1:25" ht="15" customHeight="1">
      <c r="A27" s="10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6"/>
    </row>
    <row r="28" spans="1:25" ht="15" customHeight="1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6"/>
    </row>
    <row r="29" spans="1:25" ht="15" customHeight="1">
      <c r="A29" s="10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6"/>
    </row>
    <row r="30" spans="1:25" ht="15" customHeight="1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6"/>
    </row>
    <row r="31" spans="1:25" ht="15" customHeight="1">
      <c r="A31" s="10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6"/>
    </row>
    <row r="32" spans="1:25" ht="15" customHeight="1">
      <c r="A32" s="10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6"/>
    </row>
    <row r="33" spans="1:25" ht="15" customHeight="1">
      <c r="A33" s="10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>
        <f>1+1</f>
        <v>2</v>
      </c>
      <c r="R33" s="9"/>
      <c r="S33" s="9"/>
      <c r="T33" s="9"/>
      <c r="U33" s="9"/>
      <c r="V33" s="9"/>
      <c r="W33" s="9"/>
      <c r="X33" s="9"/>
      <c r="Y33" s="6"/>
    </row>
    <row r="34" spans="1:25" ht="15" customHeight="1">
      <c r="A34" s="10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6"/>
    </row>
    <row r="35" spans="1:25" ht="15" customHeight="1">
      <c r="A35" s="10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6"/>
    </row>
    <row r="36" spans="1:25" ht="15" customHeight="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5"/>
    </row>
  </sheetData>
  <mergeCells count="10">
    <mergeCell ref="W16:X16"/>
    <mergeCell ref="W17:X17"/>
    <mergeCell ref="G16:H16"/>
    <mergeCell ref="G17:H17"/>
    <mergeCell ref="O16:P16"/>
    <mergeCell ref="O17:P17"/>
    <mergeCell ref="A1:B2"/>
    <mergeCell ref="D1:I2"/>
    <mergeCell ref="L1:Q2"/>
    <mergeCell ref="T1:Y2"/>
  </mergeCells>
  <conditionalFormatting sqref="G21">
    <cfRule type="cellIs" dxfId="10" priority="14" operator="equal">
      <formula>TRUE</formula>
    </cfRule>
  </conditionalFormatting>
  <conditionalFormatting sqref="G21">
    <cfRule type="cellIs" dxfId="9" priority="13" operator="equal">
      <formula>FALSE</formula>
    </cfRule>
  </conditionalFormatting>
  <conditionalFormatting sqref="O21">
    <cfRule type="cellIs" dxfId="8" priority="6" operator="equal">
      <formula>TRUE</formula>
    </cfRule>
  </conditionalFormatting>
  <conditionalFormatting sqref="O21">
    <cfRule type="cellIs" dxfId="7" priority="5" operator="equal">
      <formula>FALSE</formula>
    </cfRule>
  </conditionalFormatting>
  <conditionalFormatting sqref="W21">
    <cfRule type="cellIs" dxfId="6" priority="2" operator="equal">
      <formula>TRUE</formula>
    </cfRule>
  </conditionalFormatting>
  <conditionalFormatting sqref="W21">
    <cfRule type="cellIs" dxfId="5" priority="1" operator="equal">
      <formula>FALSE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Barreto Da Cruz</dc:creator>
  <cp:keywords/>
  <dc:description/>
  <cp:lastModifiedBy/>
  <cp:revision/>
  <dcterms:created xsi:type="dcterms:W3CDTF">2025-10-30T19:05:30Z</dcterms:created>
  <dcterms:modified xsi:type="dcterms:W3CDTF">2025-11-01T19:32:25Z</dcterms:modified>
  <cp:category/>
  <cp:contentStatus/>
</cp:coreProperties>
</file>